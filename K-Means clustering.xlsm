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sser\Desktop\Excel modules\"/>
    </mc:Choice>
  </mc:AlternateContent>
  <bookViews>
    <workbookView xWindow="240" yWindow="45" windowWidth="21075" windowHeight="10035" activeTab="1"/>
  </bookViews>
  <sheets>
    <sheet name="Cluster Analysis" sheetId="4" r:id="rId1"/>
    <sheet name="Sheet1" sheetId="1" r:id="rId2"/>
    <sheet name="Sheet2" sheetId="2" r:id="rId3"/>
    <sheet name="Sheet3" sheetId="3" r:id="rId4"/>
  </sheets>
  <functionGroups builtInGroupCount="18"/>
  <definedNames>
    <definedName name="solver_adj" localSheetId="1" hidden="1">Sheet1!$M$2:$O$3</definedName>
    <definedName name="solver_cvg" localSheetId="1" hidden="1">0.01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Sheet1!$M$2:$O$2</definedName>
    <definedName name="solver_lhs2" localSheetId="1" hidden="1">Sheet1!$M$2:$O$2</definedName>
    <definedName name="solver_lhs3" localSheetId="1" hidden="1">Sheet1!$M$3:$O$3</definedName>
    <definedName name="solver_lhs4" localSheetId="1" hidden="1">Sheet1!$M$3:$O$3</definedName>
    <definedName name="solver_lhs5" localSheetId="1" hidden="1">Sheet1!$V$2</definedName>
    <definedName name="solver_lhs6" localSheetId="1" hidden="1">Sheet1!$W$2</definedName>
    <definedName name="solver_lhs7" localSheetId="1" hidden="1">Sheet1!$X$2</definedName>
    <definedName name="solver_lhs8" localSheetId="1" hidden="1">Sheet1!$X$2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7</definedName>
    <definedName name="solver_nwt" localSheetId="1" hidden="1">1</definedName>
    <definedName name="solver_opt" localSheetId="1" hidden="1">Sheet1!$Y$2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el2" localSheetId="1" hidden="1">3</definedName>
    <definedName name="solver_rel3" localSheetId="1" hidden="1">1</definedName>
    <definedName name="solver_rel4" localSheetId="1" hidden="1">3</definedName>
    <definedName name="solver_rel5" localSheetId="1" hidden="1">1</definedName>
    <definedName name="solver_rel6" localSheetId="1" hidden="1">1</definedName>
    <definedName name="solver_rel7" localSheetId="1" hidden="1">1</definedName>
    <definedName name="solver_rel8" localSheetId="1" hidden="1">1</definedName>
    <definedName name="solver_rhs1" localSheetId="1" hidden="1">MAX(Sheet1!$D$5:$D$39)</definedName>
    <definedName name="solver_rhs2" localSheetId="1" hidden="1">0</definedName>
    <definedName name="solver_rhs3" localSheetId="1" hidden="1">MAX(Sheet1!$E$5:$E$39)</definedName>
    <definedName name="solver_rhs4" localSheetId="1" hidden="1">0</definedName>
    <definedName name="solver_rhs5" localSheetId="1" hidden="1">0.5</definedName>
    <definedName name="solver_rhs6" localSheetId="1" hidden="1">0.5</definedName>
    <definedName name="solver_rhs7" localSheetId="1" hidden="1">0.5</definedName>
    <definedName name="solver_rhs8" localSheetId="1" hidden="1">0.3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0.1</definedName>
    <definedName name="solver_ver" localSheetId="1" hidden="1">3</definedName>
    <definedName name="x_1">Sheet1!$M$2</definedName>
    <definedName name="X_2">Sheet1!$N$2</definedName>
    <definedName name="X_3">Sheet1!$O$2</definedName>
    <definedName name="Y_1">Sheet1!$M$3</definedName>
    <definedName name="Y_2">Sheet1!$N$3</definedName>
    <definedName name="Y_3">Sheet1!$O$3</definedName>
  </definedNames>
  <calcPr calcId="152511"/>
</workbook>
</file>

<file path=xl/calcChain.xml><?xml version="1.0" encoding="utf-8"?>
<calcChain xmlns="http://schemas.openxmlformats.org/spreadsheetml/2006/main">
  <c r="Y2" i="1" l="1"/>
  <c r="F39" i="1"/>
  <c r="R7" i="1"/>
  <c r="R6" i="1"/>
  <c r="R5" i="1"/>
  <c r="Q7" i="1"/>
  <c r="Q6" i="1"/>
  <c r="H39" i="1"/>
  <c r="G39" i="1"/>
  <c r="H38" i="1"/>
  <c r="G38" i="1"/>
  <c r="F38" i="1"/>
  <c r="H37" i="1"/>
  <c r="G37" i="1"/>
  <c r="H36" i="1"/>
  <c r="G36" i="1"/>
  <c r="H35" i="1"/>
  <c r="G35" i="1"/>
  <c r="H34" i="1"/>
  <c r="G34" i="1"/>
  <c r="F34" i="1"/>
  <c r="H33" i="1"/>
  <c r="G33" i="1"/>
  <c r="H32" i="1"/>
  <c r="G32" i="1"/>
  <c r="H31" i="1"/>
  <c r="G31" i="1"/>
  <c r="H30" i="1"/>
  <c r="G30" i="1"/>
  <c r="F30" i="1"/>
  <c r="H29" i="1"/>
  <c r="G29" i="1"/>
  <c r="H28" i="1"/>
  <c r="G28" i="1"/>
  <c r="H27" i="1"/>
  <c r="G27" i="1"/>
  <c r="H26" i="1"/>
  <c r="G26" i="1"/>
  <c r="F26" i="1"/>
  <c r="H25" i="1"/>
  <c r="G25" i="1"/>
  <c r="H24" i="1"/>
  <c r="G24" i="1"/>
  <c r="H23" i="1"/>
  <c r="G23" i="1"/>
  <c r="H22" i="1"/>
  <c r="G22" i="1"/>
  <c r="F22" i="1"/>
  <c r="H21" i="1"/>
  <c r="G21" i="1"/>
  <c r="H20" i="1"/>
  <c r="G20" i="1"/>
  <c r="F21" i="1" l="1"/>
  <c r="I21" i="1" s="1"/>
  <c r="F25" i="1"/>
  <c r="I25" i="1" s="1"/>
  <c r="F29" i="1"/>
  <c r="I29" i="1" s="1"/>
  <c r="F33" i="1"/>
  <c r="I33" i="1" s="1"/>
  <c r="F37" i="1"/>
  <c r="I37" i="1" s="1"/>
  <c r="F20" i="1"/>
  <c r="I20" i="1" s="1"/>
  <c r="F24" i="1"/>
  <c r="I24" i="1" s="1"/>
  <c r="F28" i="1"/>
  <c r="I28" i="1" s="1"/>
  <c r="F32" i="1"/>
  <c r="I32" i="1" s="1"/>
  <c r="F36" i="1"/>
  <c r="I36" i="1" s="1"/>
  <c r="Q5" i="1"/>
  <c r="F23" i="1"/>
  <c r="I23" i="1" s="1"/>
  <c r="F27" i="1"/>
  <c r="I27" i="1" s="1"/>
  <c r="F31" i="1"/>
  <c r="I31" i="1" s="1"/>
  <c r="F35" i="1"/>
  <c r="I35" i="1" s="1"/>
  <c r="I39" i="1"/>
  <c r="I26" i="1"/>
  <c r="I30" i="1"/>
  <c r="I34" i="1"/>
  <c r="I22" i="1"/>
  <c r="I38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H5" i="1"/>
  <c r="G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5" i="1"/>
  <c r="M30" i="1" l="1"/>
  <c r="L36" i="1"/>
  <c r="N20" i="1"/>
  <c r="K22" i="1"/>
  <c r="P39" i="1"/>
  <c r="P23" i="1"/>
  <c r="P28" i="1"/>
  <c r="N33" i="1"/>
  <c r="O34" i="1"/>
  <c r="P35" i="1"/>
  <c r="N24" i="1"/>
  <c r="L29" i="1"/>
  <c r="P31" i="1"/>
  <c r="N25" i="1"/>
  <c r="K38" i="1"/>
  <c r="O26" i="1"/>
  <c r="P27" i="1"/>
  <c r="M32" i="1"/>
  <c r="L37" i="1"/>
  <c r="O21" i="1"/>
  <c r="M23" i="1"/>
  <c r="O27" i="1"/>
  <c r="O23" i="1"/>
  <c r="L23" i="1"/>
  <c r="N23" i="1"/>
  <c r="O30" i="1"/>
  <c r="O22" i="1"/>
  <c r="M26" i="1"/>
  <c r="L31" i="1"/>
  <c r="M37" i="1"/>
  <c r="N31" i="1"/>
  <c r="N26" i="1"/>
  <c r="K23" i="1"/>
  <c r="P30" i="1"/>
  <c r="N36" i="1"/>
  <c r="L39" i="1"/>
  <c r="L27" i="1"/>
  <c r="N27" i="1"/>
  <c r="L32" i="1"/>
  <c r="P26" i="1"/>
  <c r="K31" i="1"/>
  <c r="L34" i="1"/>
  <c r="P21" i="1"/>
  <c r="M31" i="1"/>
  <c r="N30" i="1"/>
  <c r="L21" i="1"/>
  <c r="K34" i="1"/>
  <c r="K30" i="1"/>
  <c r="O35" i="1"/>
  <c r="O28" i="1"/>
  <c r="M28" i="1"/>
  <c r="O38" i="1"/>
  <c r="M22" i="1"/>
  <c r="P34" i="1"/>
  <c r="O32" i="1"/>
  <c r="K28" i="1"/>
  <c r="N28" i="1"/>
  <c r="O24" i="1"/>
  <c r="M35" i="1"/>
  <c r="K35" i="1"/>
  <c r="L22" i="1"/>
  <c r="N32" i="1"/>
  <c r="P32" i="1"/>
  <c r="L28" i="1"/>
  <c r="L35" i="1"/>
  <c r="N35" i="1"/>
  <c r="P22" i="1"/>
  <c r="K32" i="1"/>
  <c r="K25" i="1"/>
  <c r="L24" i="1"/>
  <c r="K27" i="1"/>
  <c r="M27" i="1"/>
  <c r="M34" i="1"/>
  <c r="O33" i="1"/>
  <c r="L30" i="1"/>
  <c r="N21" i="1"/>
  <c r="K26" i="1"/>
  <c r="N39" i="1"/>
  <c r="M39" i="1"/>
  <c r="O39" i="1"/>
  <c r="K36" i="1"/>
  <c r="M36" i="1"/>
  <c r="P33" i="1"/>
  <c r="M29" i="1"/>
  <c r="K24" i="1"/>
  <c r="K39" i="1"/>
  <c r="O36" i="1"/>
  <c r="P29" i="1"/>
  <c r="P36" i="1"/>
  <c r="K33" i="1"/>
  <c r="O31" i="1"/>
  <c r="L38" i="1"/>
  <c r="N22" i="1"/>
  <c r="N34" i="1"/>
  <c r="M33" i="1"/>
  <c r="K29" i="1"/>
  <c r="N29" i="1"/>
  <c r="M21" i="1"/>
  <c r="L26" i="1"/>
  <c r="L25" i="1"/>
  <c r="K21" i="1"/>
  <c r="L33" i="1"/>
  <c r="O29" i="1"/>
  <c r="O25" i="1"/>
  <c r="P25" i="1"/>
  <c r="M25" i="1"/>
  <c r="P38" i="1"/>
  <c r="K37" i="1"/>
  <c r="N37" i="1"/>
  <c r="P24" i="1"/>
  <c r="M24" i="1"/>
  <c r="M38" i="1"/>
  <c r="O37" i="1"/>
  <c r="N38" i="1"/>
  <c r="P37" i="1"/>
  <c r="K20" i="1"/>
  <c r="P20" i="1"/>
  <c r="M20" i="1"/>
  <c r="O20" i="1"/>
  <c r="L20" i="1"/>
  <c r="I16" i="1"/>
  <c r="I12" i="1"/>
  <c r="I18" i="1"/>
  <c r="I14" i="1"/>
  <c r="I10" i="1"/>
  <c r="I6" i="1"/>
  <c r="I5" i="1"/>
  <c r="I8" i="1"/>
  <c r="I13" i="1"/>
  <c r="I19" i="1"/>
  <c r="I15" i="1"/>
  <c r="I11" i="1"/>
  <c r="I7" i="1"/>
  <c r="I17" i="1"/>
  <c r="I9" i="1"/>
  <c r="J17" i="1" l="1"/>
  <c r="J6" i="1"/>
  <c r="J37" i="1"/>
  <c r="J38" i="1"/>
  <c r="J39" i="1"/>
  <c r="J7" i="1"/>
  <c r="J10" i="1"/>
  <c r="J11" i="1"/>
  <c r="J8" i="1"/>
  <c r="J14" i="1"/>
  <c r="J19" i="1"/>
  <c r="J12" i="1"/>
  <c r="J27" i="1"/>
  <c r="J31" i="1"/>
  <c r="J24" i="1"/>
  <c r="J34" i="1"/>
  <c r="J28" i="1"/>
  <c r="J20" i="1"/>
  <c r="J30" i="1"/>
  <c r="J13" i="1"/>
  <c r="J16" i="1"/>
  <c r="J21" i="1"/>
  <c r="J32" i="1"/>
  <c r="J26" i="1"/>
  <c r="J25" i="1"/>
  <c r="J29" i="1"/>
  <c r="J35" i="1"/>
  <c r="J33" i="1"/>
  <c r="J23" i="1"/>
  <c r="J22" i="1"/>
  <c r="J36" i="1"/>
  <c r="J9" i="1"/>
  <c r="J15" i="1"/>
  <c r="J5" i="1"/>
  <c r="J18" i="1"/>
  <c r="S2" i="1"/>
  <c r="S7" i="1" s="1"/>
  <c r="S3" i="1"/>
  <c r="T7" i="1" s="1"/>
  <c r="R2" i="1"/>
  <c r="S6" i="1" s="1"/>
  <c r="R3" i="1"/>
  <c r="T6" i="1" s="1"/>
  <c r="Q2" i="1"/>
  <c r="S5" i="1" s="1"/>
  <c r="Q3" i="1"/>
  <c r="T5" i="1" s="1"/>
  <c r="M11" i="1"/>
  <c r="L11" i="1"/>
  <c r="N11" i="1"/>
  <c r="O11" i="1"/>
  <c r="P11" i="1"/>
  <c r="K11" i="1"/>
  <c r="M8" i="1"/>
  <c r="N8" i="1"/>
  <c r="O8" i="1"/>
  <c r="K8" i="1"/>
  <c r="P8" i="1"/>
  <c r="L8" i="1"/>
  <c r="M14" i="1"/>
  <c r="K14" i="1"/>
  <c r="N14" i="1"/>
  <c r="L14" i="1"/>
  <c r="O14" i="1"/>
  <c r="P14" i="1"/>
  <c r="M9" i="1"/>
  <c r="N9" i="1"/>
  <c r="K9" i="1"/>
  <c r="O9" i="1"/>
  <c r="L9" i="1"/>
  <c r="P9" i="1"/>
  <c r="M15" i="1"/>
  <c r="L15" i="1"/>
  <c r="N15" i="1"/>
  <c r="O15" i="1"/>
  <c r="P15" i="1"/>
  <c r="K15" i="1"/>
  <c r="O5" i="1"/>
  <c r="P5" i="1"/>
  <c r="K5" i="1"/>
  <c r="N5" i="1"/>
  <c r="L5" i="1"/>
  <c r="M5" i="1"/>
  <c r="M18" i="1"/>
  <c r="K18" i="1"/>
  <c r="N18" i="1"/>
  <c r="L18" i="1"/>
  <c r="O18" i="1"/>
  <c r="P18" i="1"/>
  <c r="M17" i="1"/>
  <c r="N17" i="1"/>
  <c r="K17" i="1"/>
  <c r="O17" i="1"/>
  <c r="L17" i="1"/>
  <c r="P17" i="1"/>
  <c r="M19" i="1"/>
  <c r="L19" i="1"/>
  <c r="N19" i="1"/>
  <c r="O19" i="1"/>
  <c r="P19" i="1"/>
  <c r="K19" i="1"/>
  <c r="M6" i="1"/>
  <c r="K6" i="1"/>
  <c r="N6" i="1"/>
  <c r="L6" i="1"/>
  <c r="O6" i="1"/>
  <c r="P6" i="1"/>
  <c r="M12" i="1"/>
  <c r="N12" i="1"/>
  <c r="O12" i="1"/>
  <c r="K12" i="1"/>
  <c r="P12" i="1"/>
  <c r="L12" i="1"/>
  <c r="M7" i="1"/>
  <c r="L7" i="1"/>
  <c r="N7" i="1"/>
  <c r="O7" i="1"/>
  <c r="P7" i="1"/>
  <c r="K7" i="1"/>
  <c r="M13" i="1"/>
  <c r="N13" i="1"/>
  <c r="K13" i="1"/>
  <c r="O13" i="1"/>
  <c r="L13" i="1"/>
  <c r="P13" i="1"/>
  <c r="M10" i="1"/>
  <c r="K10" i="1"/>
  <c r="N10" i="1"/>
  <c r="L10" i="1"/>
  <c r="O10" i="1"/>
  <c r="P10" i="1"/>
  <c r="M16" i="1"/>
  <c r="N16" i="1"/>
  <c r="O16" i="1"/>
  <c r="K16" i="1"/>
  <c r="P16" i="1"/>
  <c r="L16" i="1"/>
  <c r="V2" i="1" l="1"/>
  <c r="X2" i="1"/>
  <c r="W2" i="1"/>
  <c r="K3" i="1"/>
</calcChain>
</file>

<file path=xl/sharedStrings.xml><?xml version="1.0" encoding="utf-8"?>
<sst xmlns="http://schemas.openxmlformats.org/spreadsheetml/2006/main" count="101" uniqueCount="64">
  <si>
    <t>x</t>
  </si>
  <si>
    <t>y</t>
  </si>
  <si>
    <t>a1</t>
  </si>
  <si>
    <t>a3</t>
  </si>
  <si>
    <t>a9</t>
  </si>
  <si>
    <t>a2</t>
  </si>
  <si>
    <t>a4</t>
  </si>
  <si>
    <t>a5</t>
  </si>
  <si>
    <t>a6</t>
  </si>
  <si>
    <t>a7</t>
  </si>
  <si>
    <t>a8</t>
  </si>
  <si>
    <t>a10</t>
  </si>
  <si>
    <t>a11</t>
  </si>
  <si>
    <t>a12</t>
  </si>
  <si>
    <t>a13</t>
  </si>
  <si>
    <t>a14</t>
  </si>
  <si>
    <t>a15</t>
  </si>
  <si>
    <t>Seed1</t>
  </si>
  <si>
    <t>Seed2</t>
  </si>
  <si>
    <t>Seed3</t>
  </si>
  <si>
    <t>Dist1</t>
  </si>
  <si>
    <t>Dist2</t>
  </si>
  <si>
    <t>Dist3</t>
  </si>
  <si>
    <t>Nearest seed</t>
  </si>
  <si>
    <t>Average distance</t>
  </si>
  <si>
    <t>Checker</t>
  </si>
  <si>
    <t>x1</t>
  </si>
  <si>
    <t>y1</t>
  </si>
  <si>
    <t>x2</t>
  </si>
  <si>
    <t>y2</t>
  </si>
  <si>
    <t>x3</t>
  </si>
  <si>
    <t>y3</t>
  </si>
  <si>
    <t>New Seed 1</t>
  </si>
  <si>
    <t>New seed 2</t>
  </si>
  <si>
    <t>New seed3</t>
  </si>
  <si>
    <t>D1</t>
  </si>
  <si>
    <t>D2</t>
  </si>
  <si>
    <t>D3</t>
  </si>
  <si>
    <t>Tot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</si>
  <si>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</si>
  <si>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</si>
  <si>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</si>
  <si>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</si>
  <si>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</si>
  <si>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</si>
  <si>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</si>
  <si>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</si>
  <si>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</si>
  <si>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</si>
  <si>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</si>
  <si>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</si>
  <si>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</si>
  <si>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</si>
  <si>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</si>
  <si>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</si>
  <si>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</si>
  <si>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</si>
  <si>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</si>
  <si>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</si>
  <si>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Row Title</t>
  </si>
  <si>
    <t>Centroid</t>
  </si>
  <si>
    <t>Centroid 1</t>
  </si>
  <si>
    <t>Centroid 2</t>
  </si>
  <si>
    <t>Centroid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</si>
</sst>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Sheet1!$K$5:$K$39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1.4</c:v>
                </c:pt>
                <c:pt idx="3">
                  <c:v>1.5</c:v>
                </c:pt>
                <c:pt idx="4">
                  <c:v>1.1000000000000001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1.3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xVal>
          <c:yVal>
            <c:numRef>
              <c:f>Sheet1!$L$5:$L$39</c:f>
              <c:numCache>
                <c:formatCode>General</c:formatCode>
                <c:ptCount val="35"/>
                <c:pt idx="0">
                  <c:v>1</c:v>
                </c:pt>
                <c:pt idx="1">
                  <c:v>1.7</c:v>
                </c:pt>
                <c:pt idx="2">
                  <c:v>1.4</c:v>
                </c:pt>
                <c:pt idx="3">
                  <c:v>2</c:v>
                </c:pt>
                <c:pt idx="4">
                  <c:v>1.5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1.7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2.5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y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Sheet1!$M$5:$M$39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4.0999999999999996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3.6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3</c:v>
                </c:pt>
                <c:pt idx="18">
                  <c:v>#N/A</c:v>
                </c:pt>
                <c:pt idx="19">
                  <c:v>4.0999999999999996</c:v>
                </c:pt>
                <c:pt idx="20">
                  <c:v>4.2</c:v>
                </c:pt>
                <c:pt idx="21">
                  <c:v>5.5</c:v>
                </c:pt>
                <c:pt idx="22">
                  <c:v>#N/A</c:v>
                </c:pt>
                <c:pt idx="23">
                  <c:v>2.8</c:v>
                </c:pt>
                <c:pt idx="24">
                  <c:v>#N/A</c:v>
                </c:pt>
                <c:pt idx="25">
                  <c:v>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1.5</c:v>
                </c:pt>
                <c:pt idx="30">
                  <c:v>#N/A</c:v>
                </c:pt>
                <c:pt idx="31">
                  <c:v>4.9000000000000004</c:v>
                </c:pt>
                <c:pt idx="32">
                  <c:v>6</c:v>
                </c:pt>
                <c:pt idx="33">
                  <c:v>1.2</c:v>
                </c:pt>
                <c:pt idx="34">
                  <c:v>5.9</c:v>
                </c:pt>
              </c:numCache>
            </c:numRef>
          </c:xVal>
          <c:yVal>
            <c:numRef>
              <c:f>Sheet1!$N$5:$N$39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</c:v>
                </c:pt>
                <c:pt idx="6">
                  <c:v>5.2</c:v>
                </c:pt>
                <c:pt idx="7">
                  <c:v>5</c:v>
                </c:pt>
                <c:pt idx="8">
                  <c:v>4.5</c:v>
                </c:pt>
                <c:pt idx="9">
                  <c:v>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4.9000000000000004</c:v>
                </c:pt>
                <c:pt idx="18">
                  <c:v>#N/A</c:v>
                </c:pt>
                <c:pt idx="19">
                  <c:v>6.1</c:v>
                </c:pt>
                <c:pt idx="20">
                  <c:v>6.3</c:v>
                </c:pt>
                <c:pt idx="21">
                  <c:v>5.8</c:v>
                </c:pt>
                <c:pt idx="22">
                  <c:v>#N/A</c:v>
                </c:pt>
                <c:pt idx="23">
                  <c:v>5.7</c:v>
                </c:pt>
                <c:pt idx="24">
                  <c:v>#N/A</c:v>
                </c:pt>
                <c:pt idx="25">
                  <c:v>5.2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4.8</c:v>
                </c:pt>
                <c:pt idx="30">
                  <c:v>#N/A</c:v>
                </c:pt>
                <c:pt idx="31">
                  <c:v>4.2</c:v>
                </c:pt>
                <c:pt idx="32">
                  <c:v>5.5</c:v>
                </c:pt>
                <c:pt idx="33">
                  <c:v>4</c:v>
                </c:pt>
                <c:pt idx="34">
                  <c:v>6.1</c:v>
                </c:pt>
              </c:numCache>
            </c:numRef>
          </c:y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8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Sheet1!$O$5:$O$39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5.4</c:v>
                </c:pt>
                <c:pt idx="14">
                  <c:v>5.2</c:v>
                </c:pt>
                <c:pt idx="15">
                  <c:v>3</c:v>
                </c:pt>
                <c:pt idx="16">
                  <c:v>6.1</c:v>
                </c:pt>
                <c:pt idx="17">
                  <c:v>#N/A</c:v>
                </c:pt>
                <c:pt idx="18">
                  <c:v>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4.5</c:v>
                </c:pt>
                <c:pt idx="25">
                  <c:v>#N/A</c:v>
                </c:pt>
                <c:pt idx="26">
                  <c:v>6.3</c:v>
                </c:pt>
                <c:pt idx="27">
                  <c:v>5.9</c:v>
                </c:pt>
                <c:pt idx="28">
                  <c:v>5.0999999999999996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xVal>
          <c:yVal>
            <c:numRef>
              <c:f>Sheet1!$P$5:$P$39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1.5</c:v>
                </c:pt>
                <c:pt idx="15">
                  <c:v>3</c:v>
                </c:pt>
                <c:pt idx="16">
                  <c:v>4.0999999999999996</c:v>
                </c:pt>
                <c:pt idx="17">
                  <c:v>#N/A</c:v>
                </c:pt>
                <c:pt idx="18">
                  <c:v>1.8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0.5</c:v>
                </c:pt>
                <c:pt idx="25">
                  <c:v>#N/A</c:v>
                </c:pt>
                <c:pt idx="26">
                  <c:v>1.1000000000000001</c:v>
                </c:pt>
                <c:pt idx="27">
                  <c:v>2.4</c:v>
                </c:pt>
                <c:pt idx="28">
                  <c:v>3.3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</c:numCache>
            </c:numRef>
          </c:y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Sheet1!$Q$5:$Q$7</c:f>
              <c:numCache>
                <c:formatCode>General</c:formatCode>
                <c:ptCount val="3"/>
                <c:pt idx="0">
                  <c:v>1.0794827633286752</c:v>
                </c:pt>
                <c:pt idx="1">
                  <c:v>3.6587351302401299</c:v>
                </c:pt>
                <c:pt idx="2">
                  <c:v>4.9301395146869149</c:v>
                </c:pt>
              </c:numCache>
            </c:numRef>
          </c:xVal>
          <c:yVal>
            <c:numRef>
              <c:f>Sheet1!$R$5:$R$7</c:f>
              <c:numCache>
                <c:formatCode>General</c:formatCode>
                <c:ptCount val="3"/>
                <c:pt idx="0">
                  <c:v>1.3148306554031781</c:v>
                </c:pt>
                <c:pt idx="1">
                  <c:v>5.0859465166112763</c:v>
                </c:pt>
                <c:pt idx="2">
                  <c:v>1.974981332766498</c:v>
                </c:pt>
              </c:numCache>
            </c:numRef>
          </c:yVal>
          <c:smooth val="0"/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Sheet1!$S$5:$S$7</c:f>
              <c:numCache>
                <c:formatCode>General</c:formatCode>
                <c:ptCount val="3"/>
                <c:pt idx="0">
                  <c:v>1.1714285714285715</c:v>
                </c:pt>
                <c:pt idx="1">
                  <c:v>3.8624999999999998</c:v>
                </c:pt>
                <c:pt idx="2">
                  <c:v>5.0416666666666661</c:v>
                </c:pt>
              </c:numCache>
            </c:numRef>
          </c:xVal>
          <c:yVal>
            <c:numRef>
              <c:f>Sheet1!$T$5:$T$7</c:f>
              <c:numCache>
                <c:formatCode>General</c:formatCode>
                <c:ptCount val="3"/>
                <c:pt idx="0">
                  <c:v>1.6857142857142855</c:v>
                </c:pt>
                <c:pt idx="1">
                  <c:v>5.2062499999999998</c:v>
                </c:pt>
                <c:pt idx="2">
                  <c:v>1.9749999999999999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21800"/>
        <c:axId val="274151776"/>
      </c:scatterChart>
      <c:valAx>
        <c:axId val="241621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51776"/>
        <c:crosses val="autoZero"/>
        <c:crossBetween val="midCat"/>
      </c:valAx>
      <c:valAx>
        <c:axId val="274151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21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228600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142875</xdr:colOff>
      <xdr:row>3</xdr:row>
      <xdr:rowOff>185737</xdr:rowOff>
    </xdr:from>
    <xdr:to>
      <xdr:col>30</xdr:col>
      <xdr:colOff>447675</xdr:colOff>
      <xdr:row>18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1"/>
  <sheetViews>
    <sheetView topLeftCell="A29" workbookViewId="0">
      <selection activeCell="B39" sqref="B39"/>
    </sheetView>
  </sheetViews>
  <sheetFormatPr defaultRowHeight="15" x14ac:dyDescent="0.25"/>
  <cols>
    <col min="1" max="1" width="10.140625" bestFit="1" customWidth="1"/>
    <col min="2" max="2" width="8.7109375" bestFit="1" customWidth="1"/>
    <col min="3" max="3" width="12" bestFit="1" customWidth="1"/>
  </cols>
  <sheetData>
    <row r="1" spans="1:2" x14ac:dyDescent="0.25">
      <c r="A1" s="2" t="s">
        <v>59</v>
      </c>
      <c r="B1" s="2" t="s">
        <v>60</v>
      </c>
    </row>
    <row r="2" spans="1:2" x14ac:dyDescent="0.25">
      <c r="A2" t="s">
        <v>2</v>
      </c>
      <c r="B2">
        <v>1</v>
      </c>
    </row>
    <row r="3" spans="1:2" x14ac:dyDescent="0.25">
      <c r="A3" t="s">
        <v>5</v>
      </c>
      <c r="B3">
        <v>1</v>
      </c>
    </row>
    <row r="4" spans="1:2" x14ac:dyDescent="0.25">
      <c r="A4" t="s">
        <v>3</v>
      </c>
      <c r="B4">
        <v>1</v>
      </c>
    </row>
    <row r="5" spans="1:2" x14ac:dyDescent="0.25">
      <c r="A5" t="s">
        <v>6</v>
      </c>
      <c r="B5">
        <v>1</v>
      </c>
    </row>
    <row r="6" spans="1:2" x14ac:dyDescent="0.25">
      <c r="A6" t="s">
        <v>7</v>
      </c>
      <c r="B6">
        <v>1</v>
      </c>
    </row>
    <row r="7" spans="1:2" x14ac:dyDescent="0.25">
      <c r="A7" t="s">
        <v>8</v>
      </c>
      <c r="B7">
        <v>2</v>
      </c>
    </row>
    <row r="8" spans="1:2" x14ac:dyDescent="0.25">
      <c r="A8" t="s">
        <v>9</v>
      </c>
      <c r="B8">
        <v>2</v>
      </c>
    </row>
    <row r="9" spans="1:2" x14ac:dyDescent="0.25">
      <c r="A9" t="s">
        <v>10</v>
      </c>
      <c r="B9">
        <v>2</v>
      </c>
    </row>
    <row r="10" spans="1:2" x14ac:dyDescent="0.25">
      <c r="A10" t="s">
        <v>4</v>
      </c>
      <c r="B10">
        <v>2</v>
      </c>
    </row>
    <row r="11" spans="1:2" x14ac:dyDescent="0.25">
      <c r="A11" t="s">
        <v>11</v>
      </c>
      <c r="B11">
        <v>2</v>
      </c>
    </row>
    <row r="12" spans="1:2" x14ac:dyDescent="0.25">
      <c r="A12" t="s">
        <v>12</v>
      </c>
      <c r="B12">
        <v>3</v>
      </c>
    </row>
    <row r="13" spans="1:2" x14ac:dyDescent="0.25">
      <c r="A13" t="s">
        <v>13</v>
      </c>
      <c r="B13">
        <v>3</v>
      </c>
    </row>
    <row r="14" spans="1:2" x14ac:dyDescent="0.25">
      <c r="A14" t="s">
        <v>14</v>
      </c>
      <c r="B14">
        <v>3</v>
      </c>
    </row>
    <row r="15" spans="1:2" x14ac:dyDescent="0.25">
      <c r="A15" t="s">
        <v>15</v>
      </c>
      <c r="B15">
        <v>3</v>
      </c>
    </row>
    <row r="16" spans="1:2" x14ac:dyDescent="0.25">
      <c r="A16" t="s">
        <v>16</v>
      </c>
      <c r="B16">
        <v>3</v>
      </c>
    </row>
    <row r="17" spans="1:2" x14ac:dyDescent="0.25">
      <c r="A17" t="s">
        <v>39</v>
      </c>
      <c r="B17">
        <v>1</v>
      </c>
    </row>
    <row r="18" spans="1:2" x14ac:dyDescent="0.25">
      <c r="A18" t="s">
        <v>40</v>
      </c>
      <c r="B18">
        <v>3</v>
      </c>
    </row>
    <row r="19" spans="1:2" x14ac:dyDescent="0.25">
      <c r="A19" t="s">
        <v>41</v>
      </c>
      <c r="B19">
        <v>2</v>
      </c>
    </row>
    <row r="20" spans="1:2" x14ac:dyDescent="0.25">
      <c r="A20" t="s">
        <v>42</v>
      </c>
      <c r="B20">
        <v>1</v>
      </c>
    </row>
    <row r="21" spans="1:2" x14ac:dyDescent="0.25">
      <c r="A21" t="s">
        <v>43</v>
      </c>
      <c r="B21">
        <v>2</v>
      </c>
    </row>
    <row r="22" spans="1:2" x14ac:dyDescent="0.25">
      <c r="A22" t="s">
        <v>44</v>
      </c>
      <c r="B22">
        <v>2</v>
      </c>
    </row>
    <row r="23" spans="1:2" x14ac:dyDescent="0.25">
      <c r="A23" t="s">
        <v>45</v>
      </c>
      <c r="B23">
        <v>2</v>
      </c>
    </row>
    <row r="24" spans="1:2" x14ac:dyDescent="0.25">
      <c r="A24" t="s">
        <v>46</v>
      </c>
      <c r="B24">
        <v>1</v>
      </c>
    </row>
    <row r="25" spans="1:2" x14ac:dyDescent="0.25">
      <c r="A25" t="s">
        <v>47</v>
      </c>
      <c r="B25">
        <v>2</v>
      </c>
    </row>
    <row r="26" spans="1:2" x14ac:dyDescent="0.25">
      <c r="A26" t="s">
        <v>48</v>
      </c>
      <c r="B26">
        <v>3</v>
      </c>
    </row>
    <row r="27" spans="1:2" x14ac:dyDescent="0.25">
      <c r="A27" t="s">
        <v>49</v>
      </c>
      <c r="B27">
        <v>2</v>
      </c>
    </row>
    <row r="28" spans="1:2" x14ac:dyDescent="0.25">
      <c r="A28" t="s">
        <v>50</v>
      </c>
      <c r="B28">
        <v>3</v>
      </c>
    </row>
    <row r="29" spans="1:2" x14ac:dyDescent="0.25">
      <c r="A29" t="s">
        <v>51</v>
      </c>
      <c r="B29">
        <v>3</v>
      </c>
    </row>
    <row r="30" spans="1:2" x14ac:dyDescent="0.25">
      <c r="A30" t="s">
        <v>52</v>
      </c>
      <c r="B30">
        <v>3</v>
      </c>
    </row>
    <row r="31" spans="1:2" x14ac:dyDescent="0.25">
      <c r="A31" t="s">
        <v>53</v>
      </c>
      <c r="B31">
        <v>2</v>
      </c>
    </row>
    <row r="32" spans="1:2" x14ac:dyDescent="0.25">
      <c r="A32" t="s">
        <v>54</v>
      </c>
      <c r="B32">
        <v>1</v>
      </c>
    </row>
    <row r="33" spans="1:3" x14ac:dyDescent="0.25">
      <c r="A33" t="s">
        <v>55</v>
      </c>
      <c r="B33">
        <v>2</v>
      </c>
    </row>
    <row r="34" spans="1:3" x14ac:dyDescent="0.25">
      <c r="A34" t="s">
        <v>56</v>
      </c>
      <c r="B34">
        <v>2</v>
      </c>
    </row>
    <row r="35" spans="1:3" x14ac:dyDescent="0.25">
      <c r="A35" t="s">
        <v>57</v>
      </c>
      <c r="B35">
        <v>1</v>
      </c>
    </row>
    <row r="36" spans="1:3" x14ac:dyDescent="0.25">
      <c r="A36" t="s">
        <v>58</v>
      </c>
      <c r="B36">
        <v>2</v>
      </c>
    </row>
    <row r="38" spans="1:3" x14ac:dyDescent="0.25">
      <c r="B38" s="2" t="s">
        <v>0</v>
      </c>
      <c r="C38" s="2" t="s">
        <v>1</v>
      </c>
    </row>
    <row r="39" spans="1:3" x14ac:dyDescent="0.25">
      <c r="A39" s="1" t="s">
        <v>61</v>
      </c>
      <c r="B39">
        <v>1.54</v>
      </c>
      <c r="C39">
        <v>2.06</v>
      </c>
    </row>
    <row r="40" spans="1:3" x14ac:dyDescent="0.25">
      <c r="A40" s="1" t="s">
        <v>62</v>
      </c>
      <c r="B40">
        <v>4.04</v>
      </c>
      <c r="C40">
        <v>5.2866666666666662</v>
      </c>
    </row>
    <row r="41" spans="1:3" x14ac:dyDescent="0.25">
      <c r="A41" s="1" t="s">
        <v>63</v>
      </c>
      <c r="B41">
        <v>5.4499999999999993</v>
      </c>
      <c r="C41">
        <v>1.89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Y39"/>
  <sheetViews>
    <sheetView tabSelected="1" topLeftCell="O1" workbookViewId="0">
      <selection activeCell="T16" sqref="T16"/>
    </sheetView>
  </sheetViews>
  <sheetFormatPr defaultRowHeight="15" x14ac:dyDescent="0.25"/>
  <cols>
    <col min="9" max="9" width="12.7109375" bestFit="1" customWidth="1"/>
    <col min="10" max="10" width="16.28515625" bestFit="1" customWidth="1"/>
  </cols>
  <sheetData>
    <row r="1" spans="3:25" x14ac:dyDescent="0.25">
      <c r="M1" t="s">
        <v>17</v>
      </c>
      <c r="N1" t="s">
        <v>18</v>
      </c>
      <c r="O1" t="s">
        <v>19</v>
      </c>
      <c r="Q1" t="s">
        <v>32</v>
      </c>
      <c r="R1" t="s">
        <v>33</v>
      </c>
      <c r="S1" t="s">
        <v>34</v>
      </c>
      <c r="V1" t="s">
        <v>35</v>
      </c>
      <c r="W1" t="s">
        <v>36</v>
      </c>
      <c r="X1" t="s">
        <v>37</v>
      </c>
      <c r="Y1" t="s">
        <v>38</v>
      </c>
    </row>
    <row r="2" spans="3:25" x14ac:dyDescent="0.25">
      <c r="K2" t="s">
        <v>25</v>
      </c>
      <c r="M2">
        <v>1.0794827633286752</v>
      </c>
      <c r="N2">
        <v>3.6587351302401299</v>
      </c>
      <c r="O2">
        <v>4.9301395146869149</v>
      </c>
      <c r="Q2">
        <f>AVERAGEIF($I$5:$I$39,1,$D$5:$D$39)</f>
        <v>1.1714285714285715</v>
      </c>
      <c r="R2">
        <f>AVERAGEIF($I$5:$I$39,2,$D$5:$D$39)</f>
        <v>3.8624999999999998</v>
      </c>
      <c r="S2">
        <f>AVERAGEIF($I$5:$I$39,3,$D$5:$D$39)</f>
        <v>5.0416666666666661</v>
      </c>
      <c r="V2">
        <f>IFERROR(SQRT((Q5-S5)^2+(R5-T5)^2),5)</f>
        <v>0.38211084629972114</v>
      </c>
      <c r="W2">
        <f>IFERROR(SQRT((Q6-S6)^2+(R6-T6)^2),5)</f>
        <v>0.23662850687040571</v>
      </c>
      <c r="X2">
        <f>IFERROR(SQRT((Q7-S7)^2+(R7-T7)^2),5)</f>
        <v>0.11152715354199676</v>
      </c>
      <c r="Y2">
        <f>SUM(V2:X2)</f>
        <v>0.73026650671212356</v>
      </c>
    </row>
    <row r="3" spans="3:25" x14ac:dyDescent="0.25">
      <c r="K3">
        <f>IFERROR(VLOOKUP(1,I5:J39,2,FALSE)+VLOOKUP(2,I5:J39,2,FALSE)+VLOOKUP(3,I5:J39,2,FALSE),100)</f>
        <v>3.0755419772709605</v>
      </c>
      <c r="M3">
        <v>1.3148306554031781</v>
      </c>
      <c r="N3">
        <v>5.0859465166112763</v>
      </c>
      <c r="O3">
        <v>1.974981332766498</v>
      </c>
      <c r="Q3">
        <f>AVERAGEIF($I$5:$I$39,1,$E$5:$E$39)</f>
        <v>1.6857142857142855</v>
      </c>
      <c r="R3">
        <f>AVERAGEIF($I$5:$I$39,2,$E$5:$E$39)</f>
        <v>5.2062499999999998</v>
      </c>
      <c r="S3">
        <f>AVERAGEIF($I$5:$I$39,3,$E$5:$E$39)</f>
        <v>1.9749999999999999</v>
      </c>
    </row>
    <row r="4" spans="3:25" x14ac:dyDescent="0.25">
      <c r="D4" t="s">
        <v>0</v>
      </c>
      <c r="E4" t="s">
        <v>1</v>
      </c>
      <c r="F4" t="s">
        <v>20</v>
      </c>
      <c r="G4" t="s">
        <v>21</v>
      </c>
      <c r="H4" t="s">
        <v>22</v>
      </c>
      <c r="I4" t="s">
        <v>23</v>
      </c>
      <c r="J4" t="s">
        <v>24</v>
      </c>
      <c r="K4" t="s">
        <v>26</v>
      </c>
      <c r="L4" t="s">
        <v>27</v>
      </c>
      <c r="M4" t="s">
        <v>28</v>
      </c>
      <c r="N4" t="s">
        <v>29</v>
      </c>
      <c r="O4" t="s">
        <v>30</v>
      </c>
      <c r="P4" t="s">
        <v>31</v>
      </c>
    </row>
    <row r="5" spans="3:25" x14ac:dyDescent="0.25">
      <c r="C5" t="s">
        <v>2</v>
      </c>
      <c r="D5">
        <v>1</v>
      </c>
      <c r="E5">
        <v>1</v>
      </c>
      <c r="F5">
        <f t="shared" ref="F5:F19" si="0">SQRT((D5-x_1)^2+(E5-Y_1)^2)</f>
        <v>0.32470887152641348</v>
      </c>
      <c r="G5">
        <f t="shared" ref="G5:G19" si="1">SQRT((D5-X_2)^2+(E5-Y_2)^2)</f>
        <v>4.8748160405681791</v>
      </c>
      <c r="H5">
        <f t="shared" ref="H5:H19" si="2">SQRT((D5-X_3)^2+(E5-Y_3)^2)</f>
        <v>4.0492697124477441</v>
      </c>
      <c r="I5">
        <f>MATCH(MIN(F5:H5),F5:H5,0)</f>
        <v>1</v>
      </c>
      <c r="J5">
        <f>(AVERAGEIF($I$5:$I$39,I5,$F$5:$F$39)*(I5=1))+(AVERAGEIF($I$5:$I$39,I5,$G$5:$G$39)*(I5=2))+(AVERAGEIF($I$5:$I$39,I5,$H$5:$H$39)*(I5=3))</f>
        <v>0.52432909178079601</v>
      </c>
      <c r="K5">
        <f>IF(I5=1,D5,NA())</f>
        <v>1</v>
      </c>
      <c r="L5">
        <f>IF(I5=1,E5,NA())</f>
        <v>1</v>
      </c>
      <c r="M5" t="e">
        <f>IF(I5=2,D5,NA())</f>
        <v>#N/A</v>
      </c>
      <c r="N5" t="e">
        <f>IF(I5=2,E5,NA())</f>
        <v>#N/A</v>
      </c>
      <c r="O5" t="e">
        <f>IF(I5=3,D5,NA())</f>
        <v>#N/A</v>
      </c>
      <c r="P5" t="e">
        <f>IF(I5=3,E5,NA())</f>
        <v>#N/A</v>
      </c>
      <c r="Q5">
        <f>x_1</f>
        <v>1.0794827633286752</v>
      </c>
      <c r="R5">
        <f>Y_1</f>
        <v>1.3148306554031781</v>
      </c>
      <c r="S5">
        <f>Q2</f>
        <v>1.1714285714285715</v>
      </c>
      <c r="T5">
        <f>Q3</f>
        <v>1.6857142857142855</v>
      </c>
    </row>
    <row r="6" spans="3:25" x14ac:dyDescent="0.25">
      <c r="C6" t="s">
        <v>5</v>
      </c>
      <c r="D6">
        <v>1</v>
      </c>
      <c r="E6">
        <v>1.7</v>
      </c>
      <c r="F6">
        <f t="shared" si="0"/>
        <v>0.39328479971072805</v>
      </c>
      <c r="G6">
        <f t="shared" si="1"/>
        <v>4.3050559004645956</v>
      </c>
      <c r="H6">
        <f t="shared" si="2"/>
        <v>3.939747623677631</v>
      </c>
      <c r="I6">
        <f t="shared" ref="I6:I19" si="3">MATCH(MIN(F6:H6),F6:H6,0)</f>
        <v>1</v>
      </c>
      <c r="J6">
        <f t="shared" ref="J6:J39" si="4">(AVERAGEIF($I$5:$I$39,I6,$F$5:$F$39)*(I6=1))+(AVERAGEIF($I$5:$I$39,I6,$G$5:$G$39)*(I6=2))+(AVERAGEIF($I$5:$I$39,I6,$H$5:$H$39)*(I6=3))</f>
        <v>0.52432909178079601</v>
      </c>
      <c r="K6">
        <f t="shared" ref="K6:K19" si="5">IF(I6=1,D6,NA())</f>
        <v>1</v>
      </c>
      <c r="L6">
        <f t="shared" ref="L6:L19" si="6">IF(I6=1,E6,NA())</f>
        <v>1.7</v>
      </c>
      <c r="M6" t="e">
        <f t="shared" ref="M6:M19" si="7">IF(I6=2,D6,NA())</f>
        <v>#N/A</v>
      </c>
      <c r="N6" t="e">
        <f t="shared" ref="N6:N19" si="8">IF(I6=2,E6,NA())</f>
        <v>#N/A</v>
      </c>
      <c r="O6" t="e">
        <f t="shared" ref="O6:O19" si="9">IF(I6=3,D6,NA())</f>
        <v>#N/A</v>
      </c>
      <c r="P6" t="e">
        <f t="shared" ref="P6:P19" si="10">IF(I6=3,E6,NA())</f>
        <v>#N/A</v>
      </c>
      <c r="Q6">
        <f>X_2</f>
        <v>3.6587351302401299</v>
      </c>
      <c r="R6">
        <f>Y_2</f>
        <v>5.0859465166112763</v>
      </c>
      <c r="S6">
        <f>R2</f>
        <v>3.8624999999999998</v>
      </c>
      <c r="T6">
        <f>R3</f>
        <v>5.2062499999999998</v>
      </c>
    </row>
    <row r="7" spans="3:25" x14ac:dyDescent="0.25">
      <c r="C7" t="s">
        <v>3</v>
      </c>
      <c r="D7">
        <v>1.4</v>
      </c>
      <c r="E7">
        <v>1.4</v>
      </c>
      <c r="F7">
        <f t="shared" si="0"/>
        <v>0.33164004019791421</v>
      </c>
      <c r="G7">
        <f t="shared" si="1"/>
        <v>4.3229719073687836</v>
      </c>
      <c r="H7">
        <f t="shared" si="2"/>
        <v>3.5766588495667162</v>
      </c>
      <c r="I7">
        <f t="shared" si="3"/>
        <v>1</v>
      </c>
      <c r="J7">
        <f t="shared" si="4"/>
        <v>0.52432909178079601</v>
      </c>
      <c r="K7">
        <f t="shared" si="5"/>
        <v>1.4</v>
      </c>
      <c r="L7">
        <f t="shared" si="6"/>
        <v>1.4</v>
      </c>
      <c r="M7" t="e">
        <f t="shared" si="7"/>
        <v>#N/A</v>
      </c>
      <c r="N7" t="e">
        <f t="shared" si="8"/>
        <v>#N/A</v>
      </c>
      <c r="O7" t="e">
        <f t="shared" si="9"/>
        <v>#N/A</v>
      </c>
      <c r="P7" t="e">
        <f t="shared" si="10"/>
        <v>#N/A</v>
      </c>
      <c r="Q7">
        <f>X_3</f>
        <v>4.9301395146869149</v>
      </c>
      <c r="R7">
        <f>Y_3</f>
        <v>1.974981332766498</v>
      </c>
      <c r="S7">
        <f>S2</f>
        <v>5.0416666666666661</v>
      </c>
      <c r="T7">
        <f>S3</f>
        <v>1.9749999999999999</v>
      </c>
    </row>
    <row r="8" spans="3:25" x14ac:dyDescent="0.25">
      <c r="C8" t="s">
        <v>6</v>
      </c>
      <c r="D8">
        <v>1.5</v>
      </c>
      <c r="E8">
        <v>2</v>
      </c>
      <c r="F8">
        <f t="shared" si="0"/>
        <v>0.80392274324895507</v>
      </c>
      <c r="G8">
        <f t="shared" si="1"/>
        <v>3.7660593816239993</v>
      </c>
      <c r="H8">
        <f t="shared" si="2"/>
        <v>3.4302307537433583</v>
      </c>
      <c r="I8">
        <f t="shared" si="3"/>
        <v>1</v>
      </c>
      <c r="J8">
        <f t="shared" si="4"/>
        <v>0.52432909178079601</v>
      </c>
      <c r="K8">
        <f t="shared" si="5"/>
        <v>1.5</v>
      </c>
      <c r="L8">
        <f t="shared" si="6"/>
        <v>2</v>
      </c>
      <c r="M8" t="e">
        <f t="shared" si="7"/>
        <v>#N/A</v>
      </c>
      <c r="N8" t="e">
        <f t="shared" si="8"/>
        <v>#N/A</v>
      </c>
      <c r="O8" t="e">
        <f t="shared" si="9"/>
        <v>#N/A</v>
      </c>
      <c r="P8" t="e">
        <f t="shared" si="10"/>
        <v>#N/A</v>
      </c>
    </row>
    <row r="9" spans="3:25" x14ac:dyDescent="0.25">
      <c r="C9" t="s">
        <v>7</v>
      </c>
      <c r="D9">
        <v>1.1000000000000001</v>
      </c>
      <c r="E9">
        <v>1.5</v>
      </c>
      <c r="F9">
        <f t="shared" si="0"/>
        <v>0.18630255816559183</v>
      </c>
      <c r="G9">
        <f t="shared" si="1"/>
        <v>4.4052398217034137</v>
      </c>
      <c r="H9">
        <f t="shared" si="2"/>
        <v>3.859478717190024</v>
      </c>
      <c r="I9">
        <f t="shared" si="3"/>
        <v>1</v>
      </c>
      <c r="J9">
        <f t="shared" si="4"/>
        <v>0.52432909178079601</v>
      </c>
      <c r="K9">
        <f t="shared" si="5"/>
        <v>1.1000000000000001</v>
      </c>
      <c r="L9">
        <f t="shared" si="6"/>
        <v>1.5</v>
      </c>
      <c r="M9" t="e">
        <f t="shared" si="7"/>
        <v>#N/A</v>
      </c>
      <c r="N9" t="e">
        <f t="shared" si="8"/>
        <v>#N/A</v>
      </c>
      <c r="O9" t="e">
        <f t="shared" si="9"/>
        <v>#N/A</v>
      </c>
      <c r="P9" t="e">
        <f t="shared" si="10"/>
        <v>#N/A</v>
      </c>
    </row>
    <row r="10" spans="3:25" x14ac:dyDescent="0.25">
      <c r="C10" t="s">
        <v>8</v>
      </c>
      <c r="D10">
        <v>4.0999999999999996</v>
      </c>
      <c r="E10">
        <v>5</v>
      </c>
      <c r="F10">
        <f t="shared" si="0"/>
        <v>4.7648711918985533</v>
      </c>
      <c r="G10">
        <f t="shared" si="1"/>
        <v>0.4495569919396285</v>
      </c>
      <c r="H10">
        <f t="shared" si="2"/>
        <v>3.1368566353845022</v>
      </c>
      <c r="I10">
        <f t="shared" si="3"/>
        <v>2</v>
      </c>
      <c r="J10">
        <f t="shared" si="4"/>
        <v>1.2493915011770946</v>
      </c>
      <c r="K10" t="e">
        <f t="shared" si="5"/>
        <v>#N/A</v>
      </c>
      <c r="L10" t="e">
        <f t="shared" si="6"/>
        <v>#N/A</v>
      </c>
      <c r="M10">
        <f t="shared" si="7"/>
        <v>4.0999999999999996</v>
      </c>
      <c r="N10">
        <f t="shared" si="8"/>
        <v>5</v>
      </c>
      <c r="O10" t="e">
        <f t="shared" si="9"/>
        <v>#N/A</v>
      </c>
      <c r="P10" t="e">
        <f t="shared" si="10"/>
        <v>#N/A</v>
      </c>
    </row>
    <row r="11" spans="3:25" x14ac:dyDescent="0.25">
      <c r="C11" t="s">
        <v>9</v>
      </c>
      <c r="D11">
        <v>3</v>
      </c>
      <c r="E11">
        <v>5.2</v>
      </c>
      <c r="F11">
        <f t="shared" si="0"/>
        <v>4.3339274673841235</v>
      </c>
      <c r="G11">
        <f t="shared" si="1"/>
        <v>0.66853583964181218</v>
      </c>
      <c r="H11">
        <f t="shared" si="2"/>
        <v>3.7584816016791134</v>
      </c>
      <c r="I11">
        <f t="shared" si="3"/>
        <v>2</v>
      </c>
      <c r="J11">
        <f t="shared" si="4"/>
        <v>1.2493915011770946</v>
      </c>
      <c r="K11" t="e">
        <f t="shared" si="5"/>
        <v>#N/A</v>
      </c>
      <c r="L11" t="e">
        <f t="shared" si="6"/>
        <v>#N/A</v>
      </c>
      <c r="M11">
        <f t="shared" si="7"/>
        <v>3</v>
      </c>
      <c r="N11">
        <f t="shared" si="8"/>
        <v>5.2</v>
      </c>
      <c r="O11" t="e">
        <f t="shared" si="9"/>
        <v>#N/A</v>
      </c>
      <c r="P11" t="e">
        <f t="shared" si="10"/>
        <v>#N/A</v>
      </c>
    </row>
    <row r="12" spans="3:25" x14ac:dyDescent="0.25">
      <c r="C12" t="s">
        <v>10</v>
      </c>
      <c r="D12">
        <v>4</v>
      </c>
      <c r="E12">
        <v>5</v>
      </c>
      <c r="F12">
        <f t="shared" si="0"/>
        <v>4.7021159096783736</v>
      </c>
      <c r="G12">
        <f t="shared" si="1"/>
        <v>0.35192117732502759</v>
      </c>
      <c r="H12">
        <f t="shared" si="2"/>
        <v>3.164790270127416</v>
      </c>
      <c r="I12">
        <f t="shared" si="3"/>
        <v>2</v>
      </c>
      <c r="J12">
        <f t="shared" si="4"/>
        <v>1.2493915011770946</v>
      </c>
      <c r="K12" t="e">
        <f t="shared" si="5"/>
        <v>#N/A</v>
      </c>
      <c r="L12" t="e">
        <f t="shared" si="6"/>
        <v>#N/A</v>
      </c>
      <c r="M12">
        <f t="shared" si="7"/>
        <v>4</v>
      </c>
      <c r="N12">
        <f t="shared" si="8"/>
        <v>5</v>
      </c>
      <c r="O12" t="e">
        <f t="shared" si="9"/>
        <v>#N/A</v>
      </c>
      <c r="P12" t="e">
        <f t="shared" si="10"/>
        <v>#N/A</v>
      </c>
    </row>
    <row r="13" spans="3:25" x14ac:dyDescent="0.25">
      <c r="C13" t="s">
        <v>4</v>
      </c>
      <c r="D13">
        <v>4</v>
      </c>
      <c r="E13">
        <v>4.5</v>
      </c>
      <c r="F13">
        <f t="shared" si="0"/>
        <v>4.3214262325595305</v>
      </c>
      <c r="G13">
        <f t="shared" si="1"/>
        <v>0.67808187681216625</v>
      </c>
      <c r="H13">
        <f t="shared" si="2"/>
        <v>2.6908881037047343</v>
      </c>
      <c r="I13">
        <f t="shared" si="3"/>
        <v>2</v>
      </c>
      <c r="J13">
        <f t="shared" si="4"/>
        <v>1.2493915011770946</v>
      </c>
      <c r="K13" t="e">
        <f t="shared" si="5"/>
        <v>#N/A</v>
      </c>
      <c r="L13" t="e">
        <f t="shared" si="6"/>
        <v>#N/A</v>
      </c>
      <c r="M13">
        <f t="shared" si="7"/>
        <v>4</v>
      </c>
      <c r="N13">
        <f t="shared" si="8"/>
        <v>4.5</v>
      </c>
      <c r="O13" t="e">
        <f t="shared" si="9"/>
        <v>#N/A</v>
      </c>
      <c r="P13" t="e">
        <f t="shared" si="10"/>
        <v>#N/A</v>
      </c>
    </row>
    <row r="14" spans="3:25" x14ac:dyDescent="0.25">
      <c r="C14" t="s">
        <v>11</v>
      </c>
      <c r="D14">
        <v>3.6</v>
      </c>
      <c r="E14">
        <v>5</v>
      </c>
      <c r="F14">
        <f t="shared" si="0"/>
        <v>4.4646926253341812</v>
      </c>
      <c r="G14">
        <f t="shared" si="1"/>
        <v>0.10409908377088338</v>
      </c>
      <c r="H14">
        <f t="shared" si="2"/>
        <v>3.3045437000655165</v>
      </c>
      <c r="I14">
        <f t="shared" si="3"/>
        <v>2</v>
      </c>
      <c r="J14">
        <f t="shared" si="4"/>
        <v>1.2493915011770946</v>
      </c>
      <c r="K14" t="e">
        <f t="shared" si="5"/>
        <v>#N/A</v>
      </c>
      <c r="L14" t="e">
        <f t="shared" si="6"/>
        <v>#N/A</v>
      </c>
      <c r="M14">
        <f t="shared" si="7"/>
        <v>3.6</v>
      </c>
      <c r="N14">
        <f t="shared" si="8"/>
        <v>5</v>
      </c>
      <c r="O14" t="e">
        <f t="shared" si="9"/>
        <v>#N/A</v>
      </c>
      <c r="P14" t="e">
        <f t="shared" si="10"/>
        <v>#N/A</v>
      </c>
    </row>
    <row r="15" spans="3:25" x14ac:dyDescent="0.25">
      <c r="C15" t="s">
        <v>12</v>
      </c>
      <c r="D15">
        <v>5</v>
      </c>
      <c r="E15">
        <v>1</v>
      </c>
      <c r="F15">
        <f t="shared" si="0"/>
        <v>3.9331379005341973</v>
      </c>
      <c r="G15">
        <f t="shared" si="1"/>
        <v>4.3004593228467796</v>
      </c>
      <c r="H15">
        <f t="shared" si="2"/>
        <v>0.97748099042964343</v>
      </c>
      <c r="I15">
        <f t="shared" si="3"/>
        <v>3</v>
      </c>
      <c r="J15">
        <f t="shared" si="4"/>
        <v>1.3018213843130699</v>
      </c>
      <c r="K15" t="e">
        <f t="shared" si="5"/>
        <v>#N/A</v>
      </c>
      <c r="L15" t="e">
        <f t="shared" si="6"/>
        <v>#N/A</v>
      </c>
      <c r="M15" t="e">
        <f t="shared" si="7"/>
        <v>#N/A</v>
      </c>
      <c r="N15" t="e">
        <f t="shared" si="8"/>
        <v>#N/A</v>
      </c>
      <c r="O15">
        <f t="shared" si="9"/>
        <v>5</v>
      </c>
      <c r="P15">
        <f t="shared" si="10"/>
        <v>1</v>
      </c>
    </row>
    <row r="16" spans="3:25" x14ac:dyDescent="0.25">
      <c r="C16" t="s">
        <v>13</v>
      </c>
      <c r="D16">
        <v>6</v>
      </c>
      <c r="E16">
        <v>1</v>
      </c>
      <c r="F16">
        <f t="shared" si="0"/>
        <v>4.9305788927834024</v>
      </c>
      <c r="G16">
        <f t="shared" si="1"/>
        <v>4.7091910268091191</v>
      </c>
      <c r="H16">
        <f t="shared" si="2"/>
        <v>1.4474771353211375</v>
      </c>
      <c r="I16">
        <f t="shared" si="3"/>
        <v>3</v>
      </c>
      <c r="J16">
        <f t="shared" si="4"/>
        <v>1.3018213843130699</v>
      </c>
      <c r="K16" t="e">
        <f t="shared" si="5"/>
        <v>#N/A</v>
      </c>
      <c r="L16" t="e">
        <f t="shared" si="6"/>
        <v>#N/A</v>
      </c>
      <c r="M16" t="e">
        <f t="shared" si="7"/>
        <v>#N/A</v>
      </c>
      <c r="N16" t="e">
        <f t="shared" si="8"/>
        <v>#N/A</v>
      </c>
      <c r="O16">
        <f t="shared" si="9"/>
        <v>6</v>
      </c>
      <c r="P16">
        <f t="shared" si="10"/>
        <v>1</v>
      </c>
    </row>
    <row r="17" spans="3:16" x14ac:dyDescent="0.25">
      <c r="C17" t="s">
        <v>14</v>
      </c>
      <c r="D17">
        <v>5</v>
      </c>
      <c r="E17">
        <v>2</v>
      </c>
      <c r="F17">
        <f t="shared" si="0"/>
        <v>3.9799387474950159</v>
      </c>
      <c r="G17">
        <f t="shared" si="1"/>
        <v>3.3648264968995401</v>
      </c>
      <c r="H17">
        <f t="shared" si="2"/>
        <v>7.4205263413860897E-2</v>
      </c>
      <c r="I17">
        <f t="shared" si="3"/>
        <v>3</v>
      </c>
      <c r="J17">
        <f t="shared" si="4"/>
        <v>1.3018213843130699</v>
      </c>
      <c r="K17" t="e">
        <f t="shared" si="5"/>
        <v>#N/A</v>
      </c>
      <c r="L17" t="e">
        <f t="shared" si="6"/>
        <v>#N/A</v>
      </c>
      <c r="M17" t="e">
        <f t="shared" si="7"/>
        <v>#N/A</v>
      </c>
      <c r="N17" t="e">
        <f t="shared" si="8"/>
        <v>#N/A</v>
      </c>
      <c r="O17">
        <f t="shared" si="9"/>
        <v>5</v>
      </c>
      <c r="P17">
        <f t="shared" si="10"/>
        <v>2</v>
      </c>
    </row>
    <row r="18" spans="3:16" x14ac:dyDescent="0.25">
      <c r="C18" t="s">
        <v>15</v>
      </c>
      <c r="D18">
        <v>5.4</v>
      </c>
      <c r="E18">
        <v>2</v>
      </c>
      <c r="F18">
        <f t="shared" si="0"/>
        <v>4.3745086836294265</v>
      </c>
      <c r="G18">
        <f t="shared" si="1"/>
        <v>3.5433133152524245</v>
      </c>
      <c r="H18">
        <f t="shared" si="2"/>
        <v>0.47052609849910437</v>
      </c>
      <c r="I18">
        <f t="shared" si="3"/>
        <v>3</v>
      </c>
      <c r="J18">
        <f t="shared" si="4"/>
        <v>1.3018213843130699</v>
      </c>
      <c r="K18" t="e">
        <f t="shared" si="5"/>
        <v>#N/A</v>
      </c>
      <c r="L18" t="e">
        <f t="shared" si="6"/>
        <v>#N/A</v>
      </c>
      <c r="M18" t="e">
        <f t="shared" si="7"/>
        <v>#N/A</v>
      </c>
      <c r="N18" t="e">
        <f t="shared" si="8"/>
        <v>#N/A</v>
      </c>
      <c r="O18">
        <f t="shared" si="9"/>
        <v>5.4</v>
      </c>
      <c r="P18">
        <f t="shared" si="10"/>
        <v>2</v>
      </c>
    </row>
    <row r="19" spans="3:16" x14ac:dyDescent="0.25">
      <c r="C19" t="s">
        <v>16</v>
      </c>
      <c r="D19">
        <v>5.2</v>
      </c>
      <c r="E19">
        <v>1.5</v>
      </c>
      <c r="F19">
        <f t="shared" si="0"/>
        <v>4.1246757428777245</v>
      </c>
      <c r="G19">
        <f t="shared" si="1"/>
        <v>3.9031410195831326</v>
      </c>
      <c r="H19">
        <f t="shared" si="2"/>
        <v>0.54628925306109821</v>
      </c>
      <c r="I19">
        <f t="shared" si="3"/>
        <v>3</v>
      </c>
      <c r="J19">
        <f t="shared" si="4"/>
        <v>1.3018213843130699</v>
      </c>
      <c r="K19" t="e">
        <f t="shared" si="5"/>
        <v>#N/A</v>
      </c>
      <c r="L19" t="e">
        <f t="shared" si="6"/>
        <v>#N/A</v>
      </c>
      <c r="M19" t="e">
        <f t="shared" si="7"/>
        <v>#N/A</v>
      </c>
      <c r="N19" t="e">
        <f t="shared" si="8"/>
        <v>#N/A</v>
      </c>
      <c r="O19">
        <f t="shared" si="9"/>
        <v>5.2</v>
      </c>
      <c r="P19">
        <f t="shared" si="10"/>
        <v>1.5</v>
      </c>
    </row>
    <row r="20" spans="3:16" x14ac:dyDescent="0.25">
      <c r="C20" t="s">
        <v>39</v>
      </c>
      <c r="D20">
        <v>3</v>
      </c>
      <c r="E20">
        <v>3</v>
      </c>
      <c r="F20">
        <f t="shared" ref="F20" si="11">SQRT((D20-x_1)^2+(E20-Y_1)^2)</f>
        <v>2.555030758390306</v>
      </c>
      <c r="G20">
        <f t="shared" ref="G20" si="12">SQRT((D20-X_2)^2+(E20-Y_2)^2)</f>
        <v>2.1874882495627714</v>
      </c>
      <c r="H20">
        <f t="shared" ref="H20" si="13">SQRT((D20-X_3)^2+(E20-Y_3)^2)</f>
        <v>2.18542943476402</v>
      </c>
      <c r="I20">
        <f t="shared" ref="I20" si="14">MATCH(MIN(F20:H20),F20:H20,0)</f>
        <v>3</v>
      </c>
      <c r="J20">
        <f t="shared" si="4"/>
        <v>1.3018213843130699</v>
      </c>
      <c r="K20" t="e">
        <f t="shared" ref="K20" si="15">IF(I20=1,D20,NA())</f>
        <v>#N/A</v>
      </c>
      <c r="L20" t="e">
        <f t="shared" ref="L20" si="16">IF(I20=1,E20,NA())</f>
        <v>#N/A</v>
      </c>
      <c r="M20" t="e">
        <f t="shared" ref="M20" si="17">IF(I20=2,D20,NA())</f>
        <v>#N/A</v>
      </c>
      <c r="N20" t="e">
        <f t="shared" ref="N20" si="18">IF(I20=2,E20,NA())</f>
        <v>#N/A</v>
      </c>
      <c r="O20">
        <f t="shared" ref="O20" si="19">IF(I20=3,D20,NA())</f>
        <v>3</v>
      </c>
      <c r="P20">
        <f t="shared" ref="P20" si="20">IF(I20=3,E20,NA())</f>
        <v>3</v>
      </c>
    </row>
    <row r="21" spans="3:16" x14ac:dyDescent="0.25">
      <c r="C21" t="s">
        <v>40</v>
      </c>
      <c r="D21">
        <v>6.1</v>
      </c>
      <c r="E21">
        <v>4.0999999999999996</v>
      </c>
      <c r="F21">
        <f t="shared" ref="F21:F39" si="21">SQRT((D21-x_1)^2+(E21-Y_1)^2)</f>
        <v>5.7413205451181488</v>
      </c>
      <c r="G21">
        <f t="shared" ref="G21:G39" si="22">SQRT((D21-X_2)^2+(E21-Y_2)^2)</f>
        <v>2.6328434624834012</v>
      </c>
      <c r="H21">
        <f t="shared" ref="H21:H39" si="23">SQRT((D21-X_3)^2+(E21-Y_3)^2)</f>
        <v>2.4257530565141652</v>
      </c>
      <c r="I21">
        <f t="shared" ref="I21:I39" si="24">MATCH(MIN(F21:H21),F21:H21,0)</f>
        <v>3</v>
      </c>
      <c r="J21">
        <f t="shared" si="4"/>
        <v>1.3018213843130699</v>
      </c>
      <c r="K21" t="e">
        <f t="shared" ref="K21:K39" si="25">IF(I21=1,D21,NA())</f>
        <v>#N/A</v>
      </c>
      <c r="L21" t="e">
        <f t="shared" ref="L21:L39" si="26">IF(I21=1,E21,NA())</f>
        <v>#N/A</v>
      </c>
      <c r="M21" t="e">
        <f t="shared" ref="M21:M39" si="27">IF(I21=2,D21,NA())</f>
        <v>#N/A</v>
      </c>
      <c r="N21" t="e">
        <f t="shared" ref="N21:N39" si="28">IF(I21=2,E21,NA())</f>
        <v>#N/A</v>
      </c>
      <c r="O21">
        <f t="shared" ref="O21:O39" si="29">IF(I21=3,D21,NA())</f>
        <v>6.1</v>
      </c>
      <c r="P21">
        <f t="shared" ref="P21:P39" si="30">IF(I21=3,E21,NA())</f>
        <v>4.0999999999999996</v>
      </c>
    </row>
    <row r="22" spans="3:16" x14ac:dyDescent="0.25">
      <c r="C22" t="s">
        <v>41</v>
      </c>
      <c r="D22">
        <v>3</v>
      </c>
      <c r="E22">
        <v>4.9000000000000004</v>
      </c>
      <c r="F22">
        <f t="shared" si="21"/>
        <v>4.0671643298234788</v>
      </c>
      <c r="G22">
        <f t="shared" si="22"/>
        <v>0.68447649985397474</v>
      </c>
      <c r="H22">
        <f t="shared" si="23"/>
        <v>3.5044504205110809</v>
      </c>
      <c r="I22">
        <f t="shared" si="24"/>
        <v>2</v>
      </c>
      <c r="J22">
        <f t="shared" si="4"/>
        <v>1.2493915011770946</v>
      </c>
      <c r="K22" t="e">
        <f t="shared" si="25"/>
        <v>#N/A</v>
      </c>
      <c r="L22" t="e">
        <f t="shared" si="26"/>
        <v>#N/A</v>
      </c>
      <c r="M22">
        <f t="shared" si="27"/>
        <v>3</v>
      </c>
      <c r="N22">
        <f t="shared" si="28"/>
        <v>4.9000000000000004</v>
      </c>
      <c r="O22" t="e">
        <f t="shared" si="29"/>
        <v>#N/A</v>
      </c>
      <c r="P22" t="e">
        <f t="shared" si="30"/>
        <v>#N/A</v>
      </c>
    </row>
    <row r="23" spans="3:16" x14ac:dyDescent="0.25">
      <c r="C23" t="s">
        <v>42</v>
      </c>
      <c r="D23">
        <v>3</v>
      </c>
      <c r="E23">
        <v>1.8</v>
      </c>
      <c r="F23">
        <f t="shared" si="21"/>
        <v>1.980852278512502</v>
      </c>
      <c r="G23">
        <f t="shared" si="22"/>
        <v>3.3513245861662315</v>
      </c>
      <c r="H23">
        <f t="shared" si="23"/>
        <v>1.9380549561280711</v>
      </c>
      <c r="I23">
        <f t="shared" si="24"/>
        <v>3</v>
      </c>
      <c r="J23">
        <f t="shared" si="4"/>
        <v>1.3018213843130699</v>
      </c>
      <c r="K23" t="e">
        <f t="shared" si="25"/>
        <v>#N/A</v>
      </c>
      <c r="L23" t="e">
        <f t="shared" si="26"/>
        <v>#N/A</v>
      </c>
      <c r="M23" t="e">
        <f t="shared" si="27"/>
        <v>#N/A</v>
      </c>
      <c r="N23" t="e">
        <f t="shared" si="28"/>
        <v>#N/A</v>
      </c>
      <c r="O23">
        <f t="shared" si="29"/>
        <v>3</v>
      </c>
      <c r="P23">
        <f t="shared" si="30"/>
        <v>1.8</v>
      </c>
    </row>
    <row r="24" spans="3:16" x14ac:dyDescent="0.25">
      <c r="C24" t="s">
        <v>43</v>
      </c>
      <c r="D24">
        <v>4.0999999999999996</v>
      </c>
      <c r="E24">
        <v>6.1</v>
      </c>
      <c r="F24">
        <f t="shared" si="21"/>
        <v>5.6587427961957903</v>
      </c>
      <c r="G24">
        <f t="shared" si="22"/>
        <v>1.1059019633118474</v>
      </c>
      <c r="H24">
        <f t="shared" si="23"/>
        <v>4.2077203589199552</v>
      </c>
      <c r="I24">
        <f t="shared" si="24"/>
        <v>2</v>
      </c>
      <c r="J24">
        <f t="shared" si="4"/>
        <v>1.2493915011770946</v>
      </c>
      <c r="K24" t="e">
        <f t="shared" si="25"/>
        <v>#N/A</v>
      </c>
      <c r="L24" t="e">
        <f t="shared" si="26"/>
        <v>#N/A</v>
      </c>
      <c r="M24">
        <f t="shared" si="27"/>
        <v>4.0999999999999996</v>
      </c>
      <c r="N24">
        <f t="shared" si="28"/>
        <v>6.1</v>
      </c>
      <c r="O24" t="e">
        <f t="shared" si="29"/>
        <v>#N/A</v>
      </c>
      <c r="P24" t="e">
        <f t="shared" si="30"/>
        <v>#N/A</v>
      </c>
    </row>
    <row r="25" spans="3:16" x14ac:dyDescent="0.25">
      <c r="C25" t="s">
        <v>44</v>
      </c>
      <c r="D25">
        <v>4.2</v>
      </c>
      <c r="E25">
        <v>6.3</v>
      </c>
      <c r="F25">
        <f t="shared" si="21"/>
        <v>5.8812873776640719</v>
      </c>
      <c r="G25">
        <f t="shared" si="22"/>
        <v>1.3292454700936405</v>
      </c>
      <c r="H25">
        <f t="shared" si="23"/>
        <v>4.3862159297993415</v>
      </c>
      <c r="I25">
        <f t="shared" si="24"/>
        <v>2</v>
      </c>
      <c r="J25">
        <f t="shared" si="4"/>
        <v>1.2493915011770946</v>
      </c>
      <c r="K25" t="e">
        <f t="shared" si="25"/>
        <v>#N/A</v>
      </c>
      <c r="L25" t="e">
        <f t="shared" si="26"/>
        <v>#N/A</v>
      </c>
      <c r="M25">
        <f t="shared" si="27"/>
        <v>4.2</v>
      </c>
      <c r="N25">
        <f t="shared" si="28"/>
        <v>6.3</v>
      </c>
      <c r="O25" t="e">
        <f t="shared" si="29"/>
        <v>#N/A</v>
      </c>
      <c r="P25" t="e">
        <f t="shared" si="30"/>
        <v>#N/A</v>
      </c>
    </row>
    <row r="26" spans="3:16" x14ac:dyDescent="0.25">
      <c r="C26" t="s">
        <v>45</v>
      </c>
      <c r="D26">
        <v>5.5</v>
      </c>
      <c r="E26">
        <v>5.8</v>
      </c>
      <c r="F26">
        <f t="shared" si="21"/>
        <v>6.2974373112734803</v>
      </c>
      <c r="G26">
        <f t="shared" si="22"/>
        <v>1.9748743498641634</v>
      </c>
      <c r="H26">
        <f t="shared" si="23"/>
        <v>3.8672352886016674</v>
      </c>
      <c r="I26">
        <f t="shared" si="24"/>
        <v>2</v>
      </c>
      <c r="J26">
        <f t="shared" si="4"/>
        <v>1.2493915011770946</v>
      </c>
      <c r="K26" t="e">
        <f t="shared" si="25"/>
        <v>#N/A</v>
      </c>
      <c r="L26" t="e">
        <f t="shared" si="26"/>
        <v>#N/A</v>
      </c>
      <c r="M26">
        <f t="shared" si="27"/>
        <v>5.5</v>
      </c>
      <c r="N26">
        <f t="shared" si="28"/>
        <v>5.8</v>
      </c>
      <c r="O26" t="e">
        <f t="shared" si="29"/>
        <v>#N/A</v>
      </c>
      <c r="P26" t="e">
        <f t="shared" si="30"/>
        <v>#N/A</v>
      </c>
    </row>
    <row r="27" spans="3:16" x14ac:dyDescent="0.25">
      <c r="C27" t="s">
        <v>46</v>
      </c>
      <c r="D27">
        <v>0.9</v>
      </c>
      <c r="E27">
        <v>1.7</v>
      </c>
      <c r="F27">
        <f t="shared" si="21"/>
        <v>0.42493468480372665</v>
      </c>
      <c r="G27">
        <f t="shared" si="22"/>
        <v>4.3675225622969664</v>
      </c>
      <c r="H27">
        <f t="shared" si="23"/>
        <v>4.0395097773381998</v>
      </c>
      <c r="I27">
        <f t="shared" si="24"/>
        <v>1</v>
      </c>
      <c r="J27">
        <f t="shared" si="4"/>
        <v>0.52432909178079601</v>
      </c>
      <c r="K27">
        <f t="shared" si="25"/>
        <v>0.9</v>
      </c>
      <c r="L27">
        <f t="shared" si="26"/>
        <v>1.7</v>
      </c>
      <c r="M27" t="e">
        <f t="shared" si="27"/>
        <v>#N/A</v>
      </c>
      <c r="N27" t="e">
        <f t="shared" si="28"/>
        <v>#N/A</v>
      </c>
      <c r="O27" t="e">
        <f t="shared" si="29"/>
        <v>#N/A</v>
      </c>
      <c r="P27" t="e">
        <f t="shared" si="30"/>
        <v>#N/A</v>
      </c>
    </row>
    <row r="28" spans="3:16" x14ac:dyDescent="0.25">
      <c r="C28" t="s">
        <v>47</v>
      </c>
      <c r="D28">
        <v>2.8</v>
      </c>
      <c r="E28">
        <v>5.7</v>
      </c>
      <c r="F28">
        <f t="shared" si="21"/>
        <v>4.7106145822466567</v>
      </c>
      <c r="G28">
        <f t="shared" si="22"/>
        <v>1.0556929972157432</v>
      </c>
      <c r="H28">
        <f t="shared" si="23"/>
        <v>4.2910672825380711</v>
      </c>
      <c r="I28">
        <f t="shared" si="24"/>
        <v>2</v>
      </c>
      <c r="J28">
        <f t="shared" si="4"/>
        <v>1.2493915011770946</v>
      </c>
      <c r="K28" t="e">
        <f t="shared" si="25"/>
        <v>#N/A</v>
      </c>
      <c r="L28" t="e">
        <f t="shared" si="26"/>
        <v>#N/A</v>
      </c>
      <c r="M28">
        <f t="shared" si="27"/>
        <v>2.8</v>
      </c>
      <c r="N28">
        <f t="shared" si="28"/>
        <v>5.7</v>
      </c>
      <c r="O28" t="e">
        <f t="shared" si="29"/>
        <v>#N/A</v>
      </c>
      <c r="P28" t="e">
        <f t="shared" si="30"/>
        <v>#N/A</v>
      </c>
    </row>
    <row r="29" spans="3:16" x14ac:dyDescent="0.25">
      <c r="C29" t="s">
        <v>48</v>
      </c>
      <c r="D29">
        <v>4.5</v>
      </c>
      <c r="E29">
        <v>0.5</v>
      </c>
      <c r="F29">
        <f t="shared" si="21"/>
        <v>3.5162319552825871</v>
      </c>
      <c r="G29">
        <f t="shared" si="22"/>
        <v>4.6624705933990827</v>
      </c>
      <c r="H29">
        <f t="shared" si="23"/>
        <v>1.5364211447727245</v>
      </c>
      <c r="I29">
        <f t="shared" si="24"/>
        <v>3</v>
      </c>
      <c r="J29">
        <f t="shared" si="4"/>
        <v>1.3018213843130699</v>
      </c>
      <c r="K29" t="e">
        <f t="shared" si="25"/>
        <v>#N/A</v>
      </c>
      <c r="L29" t="e">
        <f t="shared" si="26"/>
        <v>#N/A</v>
      </c>
      <c r="M29" t="e">
        <f t="shared" si="27"/>
        <v>#N/A</v>
      </c>
      <c r="N29" t="e">
        <f t="shared" si="28"/>
        <v>#N/A</v>
      </c>
      <c r="O29">
        <f t="shared" si="29"/>
        <v>4.5</v>
      </c>
      <c r="P29">
        <f t="shared" si="30"/>
        <v>0.5</v>
      </c>
    </row>
    <row r="30" spans="3:16" x14ac:dyDescent="0.25">
      <c r="C30" t="s">
        <v>49</v>
      </c>
      <c r="D30">
        <v>4</v>
      </c>
      <c r="E30">
        <v>5.2</v>
      </c>
      <c r="F30">
        <f t="shared" si="21"/>
        <v>4.8604487206315845</v>
      </c>
      <c r="G30">
        <f t="shared" si="22"/>
        <v>0.35981927186481139</v>
      </c>
      <c r="H30">
        <f t="shared" si="23"/>
        <v>3.3564720944447854</v>
      </c>
      <c r="I30">
        <f t="shared" si="24"/>
        <v>2</v>
      </c>
      <c r="J30">
        <f t="shared" si="4"/>
        <v>1.2493915011770946</v>
      </c>
      <c r="K30" t="e">
        <f t="shared" si="25"/>
        <v>#N/A</v>
      </c>
      <c r="L30" t="e">
        <f t="shared" si="26"/>
        <v>#N/A</v>
      </c>
      <c r="M30">
        <f t="shared" si="27"/>
        <v>4</v>
      </c>
      <c r="N30">
        <f t="shared" si="28"/>
        <v>5.2</v>
      </c>
      <c r="O30" t="e">
        <f t="shared" si="29"/>
        <v>#N/A</v>
      </c>
      <c r="P30" t="e">
        <f t="shared" si="30"/>
        <v>#N/A</v>
      </c>
    </row>
    <row r="31" spans="3:16" x14ac:dyDescent="0.25">
      <c r="C31" t="s">
        <v>50</v>
      </c>
      <c r="D31">
        <v>6.3</v>
      </c>
      <c r="E31">
        <v>1.1000000000000001</v>
      </c>
      <c r="F31">
        <f t="shared" si="21"/>
        <v>5.2249356387311954</v>
      </c>
      <c r="G31">
        <f t="shared" si="22"/>
        <v>4.7816367224532215</v>
      </c>
      <c r="H31">
        <f t="shared" si="23"/>
        <v>1.6254568840520001</v>
      </c>
      <c r="I31">
        <f t="shared" si="24"/>
        <v>3</v>
      </c>
      <c r="J31">
        <f t="shared" si="4"/>
        <v>1.3018213843130699</v>
      </c>
      <c r="K31" t="e">
        <f t="shared" si="25"/>
        <v>#N/A</v>
      </c>
      <c r="L31" t="e">
        <f t="shared" si="26"/>
        <v>#N/A</v>
      </c>
      <c r="M31" t="e">
        <f t="shared" si="27"/>
        <v>#N/A</v>
      </c>
      <c r="N31" t="e">
        <f t="shared" si="28"/>
        <v>#N/A</v>
      </c>
      <c r="O31">
        <f t="shared" si="29"/>
        <v>6.3</v>
      </c>
      <c r="P31">
        <f t="shared" si="30"/>
        <v>1.1000000000000001</v>
      </c>
    </row>
    <row r="32" spans="3:16" x14ac:dyDescent="0.25">
      <c r="C32" t="s">
        <v>51</v>
      </c>
      <c r="D32">
        <v>5.9</v>
      </c>
      <c r="E32">
        <v>2.4</v>
      </c>
      <c r="F32">
        <f t="shared" si="21"/>
        <v>4.9411515798949184</v>
      </c>
      <c r="G32">
        <f t="shared" si="22"/>
        <v>3.4982248221799552</v>
      </c>
      <c r="H32">
        <f t="shared" si="23"/>
        <v>1.0589004809086999</v>
      </c>
      <c r="I32">
        <f t="shared" si="24"/>
        <v>3</v>
      </c>
      <c r="J32">
        <f t="shared" si="4"/>
        <v>1.3018213843130699</v>
      </c>
      <c r="K32" t="e">
        <f t="shared" si="25"/>
        <v>#N/A</v>
      </c>
      <c r="L32" t="e">
        <f t="shared" si="26"/>
        <v>#N/A</v>
      </c>
      <c r="M32" t="e">
        <f t="shared" si="27"/>
        <v>#N/A</v>
      </c>
      <c r="N32" t="e">
        <f t="shared" si="28"/>
        <v>#N/A</v>
      </c>
      <c r="O32">
        <f t="shared" si="29"/>
        <v>5.9</v>
      </c>
      <c r="P32">
        <f t="shared" si="30"/>
        <v>2.4</v>
      </c>
    </row>
    <row r="33" spans="3:16" x14ac:dyDescent="0.25">
      <c r="C33" t="s">
        <v>52</v>
      </c>
      <c r="D33">
        <v>5.0999999999999996</v>
      </c>
      <c r="E33">
        <v>3.3</v>
      </c>
      <c r="F33">
        <f t="shared" si="21"/>
        <v>4.4839108127948082</v>
      </c>
      <c r="G33">
        <f t="shared" si="22"/>
        <v>2.2949617393324635</v>
      </c>
      <c r="H33">
        <f t="shared" si="23"/>
        <v>1.3358619138923162</v>
      </c>
      <c r="I33">
        <f t="shared" si="24"/>
        <v>3</v>
      </c>
      <c r="J33">
        <f t="shared" si="4"/>
        <v>1.3018213843130699</v>
      </c>
      <c r="K33" t="e">
        <f t="shared" si="25"/>
        <v>#N/A</v>
      </c>
      <c r="L33" t="e">
        <f t="shared" si="26"/>
        <v>#N/A</v>
      </c>
      <c r="M33" t="e">
        <f t="shared" si="27"/>
        <v>#N/A</v>
      </c>
      <c r="N33" t="e">
        <f t="shared" si="28"/>
        <v>#N/A</v>
      </c>
      <c r="O33">
        <f t="shared" si="29"/>
        <v>5.0999999999999996</v>
      </c>
      <c r="P33">
        <f t="shared" si="30"/>
        <v>3.3</v>
      </c>
    </row>
    <row r="34" spans="3:16" x14ac:dyDescent="0.25">
      <c r="C34" t="s">
        <v>53</v>
      </c>
      <c r="D34">
        <v>1.5</v>
      </c>
      <c r="E34">
        <v>4.8</v>
      </c>
      <c r="F34">
        <f t="shared" si="21"/>
        <v>3.5104472801703097</v>
      </c>
      <c r="G34">
        <f t="shared" si="22"/>
        <v>2.1775910481297891</v>
      </c>
      <c r="H34">
        <f t="shared" si="23"/>
        <v>4.4437132626255638</v>
      </c>
      <c r="I34">
        <f t="shared" si="24"/>
        <v>2</v>
      </c>
      <c r="J34">
        <f t="shared" si="4"/>
        <v>1.2493915011770946</v>
      </c>
      <c r="K34" t="e">
        <f t="shared" si="25"/>
        <v>#N/A</v>
      </c>
      <c r="L34" t="e">
        <f t="shared" si="26"/>
        <v>#N/A</v>
      </c>
      <c r="M34">
        <f t="shared" si="27"/>
        <v>1.5</v>
      </c>
      <c r="N34">
        <f t="shared" si="28"/>
        <v>4.8</v>
      </c>
      <c r="O34" t="e">
        <f t="shared" si="29"/>
        <v>#N/A</v>
      </c>
      <c r="P34" t="e">
        <f t="shared" si="30"/>
        <v>#N/A</v>
      </c>
    </row>
    <row r="35" spans="3:16" x14ac:dyDescent="0.25">
      <c r="C35" t="s">
        <v>54</v>
      </c>
      <c r="D35">
        <v>1.3</v>
      </c>
      <c r="E35">
        <v>2.5</v>
      </c>
      <c r="F35">
        <f t="shared" si="21"/>
        <v>1.2055099448122431</v>
      </c>
      <c r="G35">
        <f t="shared" si="22"/>
        <v>3.5001072556998762</v>
      </c>
      <c r="H35">
        <f t="shared" si="23"/>
        <v>3.667909145144546</v>
      </c>
      <c r="I35">
        <f t="shared" si="24"/>
        <v>1</v>
      </c>
      <c r="J35">
        <f t="shared" si="4"/>
        <v>0.52432909178079601</v>
      </c>
      <c r="K35">
        <f t="shared" si="25"/>
        <v>1.3</v>
      </c>
      <c r="L35">
        <f t="shared" si="26"/>
        <v>2.5</v>
      </c>
      <c r="M35" t="e">
        <f t="shared" si="27"/>
        <v>#N/A</v>
      </c>
      <c r="N35" t="e">
        <f t="shared" si="28"/>
        <v>#N/A</v>
      </c>
      <c r="O35" t="e">
        <f t="shared" si="29"/>
        <v>#N/A</v>
      </c>
      <c r="P35" t="e">
        <f t="shared" si="30"/>
        <v>#N/A</v>
      </c>
    </row>
    <row r="36" spans="3:16" x14ac:dyDescent="0.25">
      <c r="C36" t="s">
        <v>55</v>
      </c>
      <c r="D36">
        <v>4.9000000000000004</v>
      </c>
      <c r="E36">
        <v>4.2</v>
      </c>
      <c r="F36">
        <f t="shared" si="21"/>
        <v>4.7875415510159236</v>
      </c>
      <c r="G36">
        <f t="shared" si="22"/>
        <v>1.5250048220237344</v>
      </c>
      <c r="H36">
        <f t="shared" si="23"/>
        <v>2.2252227888198326</v>
      </c>
      <c r="I36">
        <f t="shared" si="24"/>
        <v>2</v>
      </c>
      <c r="J36">
        <f t="shared" si="4"/>
        <v>1.2493915011770946</v>
      </c>
      <c r="K36" t="e">
        <f t="shared" si="25"/>
        <v>#N/A</v>
      </c>
      <c r="L36" t="e">
        <f t="shared" si="26"/>
        <v>#N/A</v>
      </c>
      <c r="M36">
        <f t="shared" si="27"/>
        <v>4.9000000000000004</v>
      </c>
      <c r="N36">
        <f t="shared" si="28"/>
        <v>4.2</v>
      </c>
      <c r="O36" t="e">
        <f t="shared" si="29"/>
        <v>#N/A</v>
      </c>
      <c r="P36" t="e">
        <f t="shared" si="30"/>
        <v>#N/A</v>
      </c>
    </row>
    <row r="37" spans="3:16" x14ac:dyDescent="0.25">
      <c r="C37" t="s">
        <v>56</v>
      </c>
      <c r="D37">
        <v>6</v>
      </c>
      <c r="E37">
        <v>5.5</v>
      </c>
      <c r="F37">
        <f t="shared" si="21"/>
        <v>6.4596541950272082</v>
      </c>
      <c r="G37">
        <f t="shared" si="22"/>
        <v>2.3775957346609702</v>
      </c>
      <c r="H37">
        <f t="shared" si="23"/>
        <v>3.6837966912384026</v>
      </c>
      <c r="I37">
        <f t="shared" si="24"/>
        <v>2</v>
      </c>
      <c r="J37">
        <f t="shared" si="4"/>
        <v>1.2493915011770946</v>
      </c>
      <c r="K37" t="e">
        <f t="shared" si="25"/>
        <v>#N/A</v>
      </c>
      <c r="L37" t="e">
        <f t="shared" si="26"/>
        <v>#N/A</v>
      </c>
      <c r="M37">
        <f t="shared" si="27"/>
        <v>6</v>
      </c>
      <c r="N37">
        <f t="shared" si="28"/>
        <v>5.5</v>
      </c>
      <c r="O37" t="e">
        <f t="shared" si="29"/>
        <v>#N/A</v>
      </c>
      <c r="P37" t="e">
        <f t="shared" si="30"/>
        <v>#N/A</v>
      </c>
    </row>
    <row r="38" spans="3:16" x14ac:dyDescent="0.25">
      <c r="C38" t="s">
        <v>57</v>
      </c>
      <c r="D38">
        <v>1.2</v>
      </c>
      <c r="E38">
        <v>4</v>
      </c>
      <c r="F38">
        <f t="shared" si="21"/>
        <v>2.6878725441317748</v>
      </c>
      <c r="G38">
        <f t="shared" si="22"/>
        <v>2.6878724444469295</v>
      </c>
      <c r="H38">
        <f t="shared" si="23"/>
        <v>4.2443658421103239</v>
      </c>
      <c r="I38">
        <f t="shared" si="24"/>
        <v>2</v>
      </c>
      <c r="J38">
        <f t="shared" si="4"/>
        <v>1.2493915011770946</v>
      </c>
      <c r="K38" t="e">
        <f t="shared" si="25"/>
        <v>#N/A</v>
      </c>
      <c r="L38" t="e">
        <f t="shared" si="26"/>
        <v>#N/A</v>
      </c>
      <c r="M38">
        <f t="shared" si="27"/>
        <v>1.2</v>
      </c>
      <c r="N38">
        <f t="shared" si="28"/>
        <v>4</v>
      </c>
      <c r="O38" t="e">
        <f t="shared" si="29"/>
        <v>#N/A</v>
      </c>
      <c r="P38" t="e">
        <f t="shared" si="30"/>
        <v>#N/A</v>
      </c>
    </row>
    <row r="39" spans="3:16" x14ac:dyDescent="0.25">
      <c r="C39" t="s">
        <v>58</v>
      </c>
      <c r="D39">
        <v>5.9</v>
      </c>
      <c r="E39">
        <v>6.1</v>
      </c>
      <c r="F39">
        <f t="shared" si="21"/>
        <v>6.7922921083765626</v>
      </c>
      <c r="G39">
        <f t="shared" si="22"/>
        <v>2.4599944478783957</v>
      </c>
      <c r="H39">
        <f t="shared" si="23"/>
        <v>4.2375002496751062</v>
      </c>
      <c r="I39">
        <f t="shared" si="24"/>
        <v>2</v>
      </c>
      <c r="J39">
        <f t="shared" si="4"/>
        <v>1.2493915011770946</v>
      </c>
      <c r="K39" t="e">
        <f t="shared" si="25"/>
        <v>#N/A</v>
      </c>
      <c r="L39" t="e">
        <f t="shared" si="26"/>
        <v>#N/A</v>
      </c>
      <c r="M39">
        <f t="shared" si="27"/>
        <v>5.9</v>
      </c>
      <c r="N39">
        <f t="shared" si="28"/>
        <v>6.1</v>
      </c>
      <c r="O39" t="e">
        <f t="shared" si="29"/>
        <v>#N/A</v>
      </c>
      <c r="P39" t="e">
        <f t="shared" si="30"/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Run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228600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Cluster Analysis</vt:lpstr>
      <vt:lpstr>Sheet1</vt:lpstr>
      <vt:lpstr>Sheet2</vt:lpstr>
      <vt:lpstr>Sheet3</vt:lpstr>
      <vt:lpstr>x_1</vt:lpstr>
      <vt:lpstr>X_2</vt:lpstr>
      <vt:lpstr>X_3</vt:lpstr>
      <vt:lpstr>Y_1</vt:lpstr>
      <vt:lpstr>Y_2</vt:lpstr>
      <vt:lpstr>Y_3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Yasser Mostafa El Sherif</dc:creator>
  <cp:lastModifiedBy>Yasser Elsherif</cp:lastModifiedBy>
  <dcterms:created xsi:type="dcterms:W3CDTF">2015-11-08T10:14:40Z</dcterms:created>
  <dcterms:modified xsi:type="dcterms:W3CDTF">2017-01-11T00:00:58Z</dcterms:modified>
</cp:coreProperties>
</file>